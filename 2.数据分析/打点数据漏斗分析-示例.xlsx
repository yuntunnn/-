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80"/>
  </bookViews>
  <sheets>
    <sheet name="data-2026-02-25_14-17-20" sheetId="1" r:id="rId1"/>
  </sheets>
  <definedNames>
    <definedName name="_xlnm._FilterDatabase" localSheetId="0" hidden="1">'data-2026-02-25_14-17-20'!$A$1:$G$14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<sst xmlns="http://schemas.openxmlformats.org/spreadsheetml/2006/main" count="33" uniqueCount="21">
  <si>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id</t>
  </si>
  <si>
    <t>日期</t>
  </si>
  <si>
    <t>Type</t>
  </si>
  <si>
    <t>Action</t>
  </si>
  <si>
    <t>名称</t>
  </si>
  <si>
    <t>次数</t>
  </si>
  <si>
    <t>人数</t>
  </si>
  <si>
    <t>smart_recommend</t>
  </si>
  <si>
    <t>start</t>
  </si>
  <si>
    <t>promotion_trigger</t>
  </si>
  <si>
    <t>pop_show</t>
  </si>
  <si>
    <t>pop_close</t>
  </si>
  <si>
    <t>break</t>
  </si>
  <si>
    <t>kk_pop_timeout</t>
  </si>
  <si>
    <t>pop_notips</t>
  </si>
  <si>
    <t>down_start</t>
  </si>
  <si>
    <t>pop_click</t>
  </si>
  <si>
    <t>down_suc</t>
  </si>
  <si>
    <t>down_end_suc</t>
  </si>
  <si>
    <t>down_end_fail</t>
  </si>
  <si>
    <t>down_fail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</si>
</sst>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9" fontId="0" fillId="0" borderId="0" xfId="3" applyNumberFormat="1">
      <alignment vertical="center"/>
    </xf>
    <xf numFmtId="9" fontId="0" fillId="0" borderId="0" xfId="3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zoomScaleSheetLayoutView="60" workbookViewId="0">
      <selection activeCell="H9" sqref="H9"/>
    </sheetView>
  </sheetViews>
  <sheetFormatPr defaultColWidth="10.3846153846154" defaultRowHeight="16.8"/>
  <cols>
    <col min="2" max="2" width="10.9230769230769"/>
    <col min="3" max="3" width="19" customWidth="1"/>
    <col min="4" max="4" width="18.7692307692308" customWidth="1"/>
    <col min="8" max="10" width="12.923076923076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>
        <v>10964433</v>
      </c>
      <c r="B2" s="1">
        <v>46077</v>
      </c>
      <c r="C2" t="s">
        <v>7</v>
      </c>
      <c r="D2" t="s">
        <v>8</v>
      </c>
      <c r="F2">
        <v>73318</v>
      </c>
      <c r="G2">
        <v>63715</v>
      </c>
    </row>
    <row r="3" spans="1:10">
      <c r="A3">
        <v>10963779</v>
      </c>
      <c r="B3" s="1">
        <v>46077</v>
      </c>
      <c r="C3" t="s">
        <v>7</v>
      </c>
      <c r="D3" t="s">
        <v>9</v>
      </c>
      <c r="F3">
        <v>54843</v>
      </c>
      <c r="G3">
        <v>53943</v>
      </c>
      <c r="I3" s="2">
        <f>G3/G2</f>
        <v>0.84662952209056</v>
      </c>
    </row>
    <row r="4" spans="1:10">
      <c r="A4">
        <v>10961194</v>
      </c>
      <c r="B4" s="1">
        <v>46077</v>
      </c>
      <c r="C4" t="s">
        <v>7</v>
      </c>
      <c r="D4" t="s">
        <v>10</v>
      </c>
      <c r="F4">
        <v>52879</v>
      </c>
      <c r="G4">
        <v>52248</v>
      </c>
      <c r="H4">
        <f>F4/G4</f>
        <v>1.0120770173021</v>
      </c>
      <c r="I4" s="3">
        <f>G4/G2</f>
        <v>0.820026681315232</v>
      </c>
      <c r="J4" s="3">
        <f>G4/G3</f>
        <v>0.968577943384684</v>
      </c>
    </row>
    <row r="5" spans="1:10">
      <c r="A5">
        <v>10963973</v>
      </c>
      <c r="B5" s="1">
        <v>46077</v>
      </c>
      <c r="C5" t="s">
        <v>7</v>
      </c>
      <c r="D5" s="4" t="s">
        <v>11</v>
      </c>
      <c r="F5">
        <v>51796</v>
      </c>
      <c r="G5">
        <v>48635</v>
      </c>
      <c r="H5">
        <f t="shared" ref="H5:H14" si="0">F5/G5</f>
        <v>1.06499434563586</v>
      </c>
    </row>
    <row r="6" spans="1:10">
      <c r="A6">
        <v>10964052</v>
      </c>
      <c r="B6" s="1">
        <v>46077</v>
      </c>
      <c r="C6" t="s">
        <v>7</v>
      </c>
      <c r="D6" t="s">
        <v>12</v>
      </c>
      <c r="F6">
        <v>15996</v>
      </c>
      <c r="G6">
        <v>12456</v>
      </c>
      <c r="H6">
        <f t="shared" si="0"/>
        <v>1.28420038535645</v>
      </c>
      <c r="I6" s="2">
        <f>G6/G2</f>
        <v>0.195495566193204</v>
      </c>
    </row>
    <row r="7" spans="1:10">
      <c r="A7">
        <v>10961910</v>
      </c>
      <c r="B7" s="1">
        <v>46077</v>
      </c>
      <c r="C7" t="s">
        <v>7</v>
      </c>
      <c r="D7" s="4" t="s">
        <v>13</v>
      </c>
      <c r="F7">
        <v>1360</v>
      </c>
      <c r="G7">
        <v>1358</v>
      </c>
      <c r="H7">
        <f t="shared" si="0"/>
        <v>1.00147275405007</v>
      </c>
    </row>
    <row r="8" spans="1:10">
      <c r="A8">
        <v>10961788</v>
      </c>
      <c r="B8" s="1">
        <v>46077</v>
      </c>
      <c r="C8" t="s">
        <v>7</v>
      </c>
      <c r="D8" s="4" t="s">
        <v>14</v>
      </c>
      <c r="F8">
        <v>1200</v>
      </c>
      <c r="G8">
        <v>1162</v>
      </c>
      <c r="H8">
        <f t="shared" si="0"/>
        <v>1.03270223752151</v>
      </c>
    </row>
    <row r="9" spans="1:10">
      <c r="A9">
        <v>10963183</v>
      </c>
      <c r="B9" s="1">
        <v>46077</v>
      </c>
      <c r="C9" t="s">
        <v>7</v>
      </c>
      <c r="D9" t="s">
        <v>15</v>
      </c>
      <c r="F9">
        <v>449</v>
      </c>
      <c r="G9">
        <v>449</v>
      </c>
      <c r="H9">
        <f t="shared" si="0"/>
        <v>1</v>
      </c>
    </row>
    <row r="10" spans="1:10">
      <c r="A10">
        <v>10963648</v>
      </c>
      <c r="B10" s="1">
        <v>46077</v>
      </c>
      <c r="C10" t="s">
        <v>7</v>
      </c>
      <c r="D10" s="4" t="s">
        <v>16</v>
      </c>
      <c r="F10">
        <v>483</v>
      </c>
      <c r="G10">
        <v>447</v>
      </c>
      <c r="H10">
        <f t="shared" si="0"/>
        <v>1.08053691275168</v>
      </c>
    </row>
    <row r="11" spans="1:10">
      <c r="A11">
        <v>10962338</v>
      </c>
      <c r="B11" s="1">
        <v>46077</v>
      </c>
      <c r="C11" t="s">
        <v>7</v>
      </c>
      <c r="D11" t="s">
        <v>17</v>
      </c>
      <c r="F11">
        <v>412</v>
      </c>
      <c r="G11">
        <v>412</v>
      </c>
      <c r="H11">
        <f t="shared" si="0"/>
        <v>1</v>
      </c>
    </row>
    <row r="12" spans="1:10">
      <c r="A12">
        <v>10964243</v>
      </c>
      <c r="B12" s="1">
        <v>46077</v>
      </c>
      <c r="C12" t="s">
        <v>7</v>
      </c>
      <c r="D12" t="s">
        <v>18</v>
      </c>
      <c r="F12">
        <v>409</v>
      </c>
      <c r="G12">
        <v>409</v>
      </c>
      <c r="H12">
        <f t="shared" si="0"/>
        <v>1</v>
      </c>
    </row>
    <row r="13" spans="1:10">
      <c r="A13">
        <v>10961523</v>
      </c>
      <c r="B13" s="1">
        <v>46077</v>
      </c>
      <c r="C13" t="s">
        <v>7</v>
      </c>
      <c r="D13" t="s">
        <v>19</v>
      </c>
      <c r="F13">
        <v>32</v>
      </c>
      <c r="G13">
        <v>32</v>
      </c>
      <c r="H13">
        <f t="shared" si="0"/>
        <v>1</v>
      </c>
    </row>
    <row r="14" spans="1:10">
      <c r="A14">
        <v>10962442</v>
      </c>
      <c r="B14" s="1">
        <v>46077</v>
      </c>
      <c r="C14" t="s">
        <v>7</v>
      </c>
      <c r="D14" t="s">
        <v>20</v>
      </c>
      <c r="F14">
        <v>28</v>
      </c>
      <c r="G14">
        <v>28</v>
      </c>
      <c r="H14">
        <f t="shared" si="0"/>
        <v>1</v>
      </c>
    </row>
    <row r="17" spans="6:10">
      <c r="F17">
        <f>F5+F7+F8+F10</f>
        <v>54839</v>
      </c>
      <c r="G17">
        <f>G5+G7+G8+G10</f>
        <v>51602</v>
      </c>
      <c r="I17">
        <f>F17/F4</f>
        <v>1.03706575389096</v>
      </c>
      <c r="J17">
        <f>G17/G4</f>
        <v>0.987635890369009</v>
      </c>
    </row>
    <row r="18" spans="6:10">
      <c r="G18">
        <f>G17+G4</f>
        <v>103850</v>
      </c>
    </row>
  </sheetData>
  <autoFilter xmlns:etc="http://www.wps.cn/officeDocument/2017/etCustomData" ref="A1:G14" etc:filterBottomFollowUsedRange="0">
    <sortState ref="A2:G14">
      <sortCondition ref="G1" descending="1"/>
    </sortState>
    <extLst/>
  </autoFilter>
  <conditionalFormatting sqref="H4:H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data-2026-02-25_14-17-20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慢吞吞</cp:lastModifiedBy>
  <dcterms:created xsi:type="dcterms:W3CDTF">2026-02-25T14:17:26Z</dcterms:created>
  <dcterms:modified xsi:type="dcterms:W3CDTF">2026-02-26T14:17:09Z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B2B1F3057FCAF37965E59F69692355BA_43</vt:lpwstr>
  </property>
</Properties>
</file>